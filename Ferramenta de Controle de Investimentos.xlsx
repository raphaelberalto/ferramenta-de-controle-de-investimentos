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pha\Downloads\"/>
    </mc:Choice>
  </mc:AlternateContent>
  <xr:revisionPtr revIDLastSave="0" documentId="13_ncr:1_{1852C9BD-1F79-4DF8-A8DC-CDD72085A49C}" xr6:coauthVersionLast="47" xr6:coauthVersionMax="47" xr10:uidLastSave="{00000000-0000-0000-0000-000000000000}"/>
  <bookViews>
    <workbookView xWindow="-120" yWindow="-120" windowWidth="38640" windowHeight="21120" tabRatio="167" xr2:uid="{FE4B2E8C-653E-41E1-9AB2-781A3326DCF9}"/>
  </bookViews>
  <sheets>
    <sheet name="APP" sheetId="1" r:id="rId1"/>
    <sheet name="Apoio" sheetId="2" state="hidden" r:id="rId2"/>
  </sheets>
  <definedNames>
    <definedName name="APORTE">APP!$D$20</definedName>
    <definedName name="PATRIMONIO">APP!$D$23</definedName>
    <definedName name="QTD_ANOS">APP!$D$21</definedName>
    <definedName name="RENDIMENTO_CARTEIRA">APP!$D$14</definedName>
    <definedName name="SALARIO">APP!$D$13</definedName>
    <definedName name="SUGESTAO_INVESTIMENTO">APP!$D$15</definedName>
    <definedName name="TAXA_MENSAL">APP!$D$22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6" i="1" l="1"/>
  <c r="D15" i="1"/>
  <c r="C40" i="1"/>
  <c r="D40" i="1" s="1"/>
  <c r="C41" i="1"/>
  <c r="D41" i="1" s="1"/>
  <c r="C42" i="1"/>
  <c r="D42" i="1" s="1"/>
  <c r="C43" i="1"/>
  <c r="D43" i="1" s="1"/>
  <c r="C44" i="1"/>
  <c r="D44" i="1" s="1"/>
  <c r="C39" i="1"/>
  <c r="D39" i="1" s="1"/>
  <c r="H5" i="2"/>
  <c r="A10" i="2"/>
  <c r="A11" i="2"/>
  <c r="A12" i="2"/>
  <c r="A13" i="2"/>
  <c r="A14" i="2"/>
  <c r="A15" i="2"/>
  <c r="A16" i="2"/>
  <c r="A17" i="2"/>
  <c r="A18" i="2"/>
  <c r="A19" i="2"/>
  <c r="A20" i="2"/>
  <c r="A9" i="2"/>
  <c r="A4" i="2"/>
  <c r="A5" i="2"/>
  <c r="A6" i="2"/>
  <c r="A7" i="2"/>
  <c r="A8" i="2"/>
  <c r="A3" i="2"/>
  <c r="D23" i="1"/>
  <c r="D24" i="1" s="1"/>
  <c r="C30" i="1"/>
  <c r="D30" i="1" s="1"/>
  <c r="C31" i="1"/>
  <c r="D31" i="1" s="1"/>
  <c r="C32" i="1"/>
  <c r="D32" i="1" s="1"/>
  <c r="C33" i="1"/>
  <c r="D33" i="1" s="1"/>
  <c r="C29" i="1"/>
  <c r="D29" i="1" s="1"/>
  <c r="D45" i="1" l="1"/>
</calcChain>
</file>

<file path=xl/sharedStrings.xml><?xml version="1.0" encoding="utf-8"?>
<sst xmlns="http://schemas.openxmlformats.org/spreadsheetml/2006/main" count="71" uniqueCount="37">
  <si>
    <t>Quanto investir por mês?</t>
  </si>
  <si>
    <t>Por quantos anos?</t>
  </si>
  <si>
    <t>Taxa de rendimento mensal?</t>
  </si>
  <si>
    <t>Patrimônio acumulado?</t>
  </si>
  <si>
    <t>Dividendos mensais?</t>
  </si>
  <si>
    <t>INVESTIMENTO MENSAL</t>
  </si>
  <si>
    <t>Quanto em 2 anos?</t>
  </si>
  <si>
    <t>Quanto em 5 anos?</t>
  </si>
  <si>
    <t>Quanto em 10 anos?</t>
  </si>
  <si>
    <t>Quantos em 20 anos?</t>
  </si>
  <si>
    <t>Quantos em 30 anos?</t>
  </si>
  <si>
    <t>CENÁRIOS</t>
  </si>
  <si>
    <t>DIVIDENDOS</t>
  </si>
  <si>
    <t>CONFIGURAÇÕES</t>
  </si>
  <si>
    <t>Rendimento Carteira</t>
  </si>
  <si>
    <t>Salário</t>
  </si>
  <si>
    <t>Perfil</t>
  </si>
  <si>
    <t>Agressivo</t>
  </si>
  <si>
    <t>Valor a ser investido por mês</t>
  </si>
  <si>
    <t>Tipo de FII</t>
  </si>
  <si>
    <t>Percentual Sugerido</t>
  </si>
  <si>
    <t>Valores</t>
  </si>
  <si>
    <t>PAPEL</t>
  </si>
  <si>
    <t>TIJOLO</t>
  </si>
  <si>
    <t>FOFs</t>
  </si>
  <si>
    <t>DESENVOLVIMENTO</t>
  </si>
  <si>
    <t>HOTELARIAS</t>
  </si>
  <si>
    <t>Conservador</t>
  </si>
  <si>
    <t>HIBRIDOS</t>
  </si>
  <si>
    <t>TIPO DE FII</t>
  </si>
  <si>
    <t>PERFIL</t>
  </si>
  <si>
    <t>Percentual</t>
  </si>
  <si>
    <t>Chave</t>
  </si>
  <si>
    <t>Moderado</t>
  </si>
  <si>
    <t>Moderado-TIJOLO</t>
  </si>
  <si>
    <t>%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</si>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</sst>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9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indexed="64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indexed="64"/>
      </right>
      <top/>
      <bottom style="thin">
        <color theme="0" tint="-4.9989318521683403E-2"/>
      </bottom>
      <diagonal/>
    </border>
    <border>
      <left style="medium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indexed="64"/>
      </left>
      <right style="thin">
        <color theme="0" tint="-4.9989318521683403E-2"/>
      </right>
      <top style="thin">
        <color theme="0" tint="-4.9989318521683403E-2"/>
      </top>
      <bottom style="medium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0" tint="-4.9989318521683403E-2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/>
      <top/>
      <bottom style="thin">
        <color theme="0" tint="-0.1499679555650502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8">
    <xf numFmtId="0" fontId="0" fillId="0" borderId="0" xfId="0"/>
    <xf numFmtId="0" fontId="4" fillId="0" borderId="0" xfId="0" applyFont="1"/>
    <xf numFmtId="0" fontId="5" fillId="3" borderId="5" xfId="0" applyFont="1" applyFill="1" applyBorder="1" applyAlignment="1">
      <alignment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 vertical="center"/>
    </xf>
    <xf numFmtId="8" fontId="0" fillId="0" borderId="27" xfId="0" applyNumberFormat="1" applyBorder="1" applyAlignment="1">
      <alignment horizontal="center" vertical="center"/>
    </xf>
    <xf numFmtId="8" fontId="0" fillId="0" borderId="22" xfId="0" applyNumberFormat="1" applyBorder="1" applyAlignment="1">
      <alignment horizontal="center"/>
    </xf>
    <xf numFmtId="10" fontId="0" fillId="0" borderId="24" xfId="0" applyNumberForma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8" fontId="3" fillId="0" borderId="22" xfId="0" applyNumberFormat="1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10" fontId="3" fillId="0" borderId="24" xfId="0" applyNumberFormat="1" applyFont="1" applyBorder="1" applyAlignment="1">
      <alignment horizontal="center" vertical="center"/>
    </xf>
    <xf numFmtId="0" fontId="5" fillId="4" borderId="3" xfId="0" applyFont="1" applyFill="1" applyBorder="1" applyAlignment="1">
      <alignment vertical="top"/>
    </xf>
    <xf numFmtId="0" fontId="5" fillId="4" borderId="2" xfId="0" applyFont="1" applyFill="1" applyBorder="1" applyAlignment="1">
      <alignment horizontal="center" vertical="top"/>
    </xf>
    <xf numFmtId="0" fontId="5" fillId="4" borderId="15" xfId="0" applyFont="1" applyFill="1" applyBorder="1" applyAlignment="1">
      <alignment horizontal="center" vertical="top"/>
    </xf>
    <xf numFmtId="8" fontId="0" fillId="5" borderId="8" xfId="0" applyNumberFormat="1" applyFill="1" applyBorder="1" applyAlignment="1">
      <alignment horizontal="center" vertical="center"/>
    </xf>
    <xf numFmtId="8" fontId="0" fillId="5" borderId="11" xfId="0" applyNumberFormat="1" applyFill="1" applyBorder="1" applyAlignment="1">
      <alignment horizontal="center" vertical="center"/>
    </xf>
    <xf numFmtId="8" fontId="0" fillId="5" borderId="9" xfId="0" applyNumberFormat="1" applyFill="1" applyBorder="1" applyAlignment="1">
      <alignment horizontal="center" vertical="center"/>
    </xf>
    <xf numFmtId="8" fontId="0" fillId="5" borderId="14" xfId="0" applyNumberFormat="1" applyFill="1" applyBorder="1" applyAlignment="1">
      <alignment horizontal="center" vertical="center"/>
    </xf>
    <xf numFmtId="8" fontId="0" fillId="5" borderId="16" xfId="0" applyNumberFormat="1" applyFill="1" applyBorder="1" applyAlignment="1">
      <alignment horizontal="center" vertical="center"/>
    </xf>
    <xf numFmtId="8" fontId="3" fillId="5" borderId="24" xfId="0" applyNumberFormat="1" applyFont="1" applyFill="1" applyBorder="1" applyAlignment="1">
      <alignment horizontal="center" vertical="center"/>
    </xf>
    <xf numFmtId="8" fontId="3" fillId="5" borderId="27" xfId="0" applyNumberFormat="1" applyFont="1" applyFill="1" applyBorder="1" applyAlignment="1">
      <alignment horizontal="center" vertical="center"/>
    </xf>
    <xf numFmtId="0" fontId="1" fillId="2" borderId="0" xfId="1" applyBorder="1" applyAlignment="1">
      <alignment horizontal="center" vertical="center"/>
    </xf>
    <xf numFmtId="0" fontId="1" fillId="2" borderId="0" xfId="1"/>
    <xf numFmtId="0" fontId="1" fillId="2" borderId="0" xfId="1" applyAlignment="1">
      <alignment horizontal="center"/>
    </xf>
    <xf numFmtId="0" fontId="0" fillId="5" borderId="0" xfId="0" applyFill="1"/>
    <xf numFmtId="0" fontId="8" fillId="5" borderId="0" xfId="0" applyFont="1" applyFill="1" applyBorder="1" applyAlignment="1">
      <alignment horizontal="center" vertical="center"/>
    </xf>
    <xf numFmtId="8" fontId="3" fillId="5" borderId="0" xfId="0" applyNumberFormat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8" fontId="0" fillId="0" borderId="0" xfId="0" applyNumberFormat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 vertical="center"/>
    </xf>
    <xf numFmtId="9" fontId="0" fillId="0" borderId="7" xfId="0" applyNumberFormat="1" applyBorder="1" applyAlignment="1">
      <alignment horizontal="center" vertical="center"/>
    </xf>
    <xf numFmtId="10" fontId="1" fillId="2" borderId="0" xfId="1" applyNumberFormat="1"/>
    <xf numFmtId="0" fontId="7" fillId="5" borderId="31" xfId="0" applyFont="1" applyFill="1" applyBorder="1" applyAlignment="1">
      <alignment horizontal="left" vertical="center"/>
    </xf>
    <xf numFmtId="0" fontId="7" fillId="5" borderId="17" xfId="0" applyFont="1" applyFill="1" applyBorder="1" applyAlignment="1">
      <alignment horizontal="left" vertical="center"/>
    </xf>
    <xf numFmtId="0" fontId="7" fillId="5" borderId="30" xfId="0" applyFont="1" applyFill="1" applyBorder="1" applyAlignment="1">
      <alignment horizontal="left" vertical="center"/>
    </xf>
    <xf numFmtId="0" fontId="7" fillId="5" borderId="19" xfId="0" applyFont="1" applyFill="1" applyBorder="1" applyAlignment="1">
      <alignment horizontal="left" vertical="center"/>
    </xf>
    <xf numFmtId="0" fontId="7" fillId="5" borderId="28" xfId="0" applyFont="1" applyFill="1" applyBorder="1" applyAlignment="1">
      <alignment horizontal="left" vertical="center"/>
    </xf>
    <xf numFmtId="0" fontId="7" fillId="5" borderId="29" xfId="0" applyFont="1" applyFill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7" fillId="0" borderId="20" xfId="0" applyFont="1" applyBorder="1" applyAlignment="1">
      <alignment horizontal="left" vertical="center"/>
    </xf>
    <xf numFmtId="0" fontId="8" fillId="5" borderId="23" xfId="0" applyFont="1" applyFill="1" applyBorder="1" applyAlignment="1">
      <alignment horizontal="left" vertical="center"/>
    </xf>
    <xf numFmtId="0" fontId="8" fillId="5" borderId="20" xfId="0" applyFont="1" applyFill="1" applyBorder="1" applyAlignment="1">
      <alignment horizontal="left" vertical="center"/>
    </xf>
    <xf numFmtId="0" fontId="8" fillId="5" borderId="25" xfId="0" applyFont="1" applyFill="1" applyBorder="1" applyAlignment="1">
      <alignment horizontal="left" vertical="center"/>
    </xf>
    <xf numFmtId="0" fontId="8" fillId="5" borderId="26" xfId="0" applyFont="1" applyFill="1" applyBorder="1" applyAlignment="1">
      <alignment horizontal="left" vertical="center"/>
    </xf>
    <xf numFmtId="0" fontId="7" fillId="5" borderId="10" xfId="0" applyFont="1" applyFill="1" applyBorder="1" applyAlignment="1">
      <alignment horizontal="left" vertical="center"/>
    </xf>
    <xf numFmtId="0" fontId="7" fillId="5" borderId="12" xfId="0" applyFont="1" applyFill="1" applyBorder="1" applyAlignment="1">
      <alignment horizontal="left" vertical="center"/>
    </xf>
    <xf numFmtId="0" fontId="7" fillId="5" borderId="13" xfId="0" applyFont="1" applyFill="1" applyBorder="1" applyAlignment="1">
      <alignment horizontal="left" vertical="center"/>
    </xf>
    <xf numFmtId="0" fontId="2" fillId="6" borderId="0" xfId="0" applyFont="1" applyFill="1"/>
    <xf numFmtId="0" fontId="2" fillId="7" borderId="0" xfId="0" applyFont="1" applyFill="1" applyAlignment="1">
      <alignment horizontal="center" vertical="center"/>
    </xf>
  </cellXfs>
  <cellStyles count="2">
    <cellStyle name="Neutro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1</xdr:rowOff>
    </xdr:from>
    <xdr:to>
      <xdr:col>5</xdr:col>
      <xdr:colOff>0</xdr:colOff>
      <xdr:row>9</xdr:row>
      <xdr:rowOff>13501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7F8F4F9-E170-4D7A-AF33-118D4D5E80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6962775" cy="172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B8793-F76F-48A1-AF65-3684ACFBA567}">
  <dimension ref="A11:I45"/>
  <sheetViews>
    <sheetView showGridLines="0" showRowColHeaders="0" tabSelected="1" workbookViewId="0">
      <selection activeCell="C17" sqref="C17"/>
    </sheetView>
  </sheetViews>
  <sheetFormatPr defaultColWidth="0" defaultRowHeight="15" x14ac:dyDescent="0.25"/>
  <cols>
    <col min="1" max="1" width="9.140625" customWidth="1"/>
    <col min="2" max="2" width="32.42578125" customWidth="1"/>
    <col min="3" max="3" width="31.28515625" bestFit="1" customWidth="1"/>
    <col min="4" max="4" width="22.42578125" bestFit="1" customWidth="1"/>
    <col min="5" max="5" width="9.140625" customWidth="1"/>
    <col min="6" max="6" width="9.140625" hidden="1" customWidth="1"/>
    <col min="7" max="7" width="13.140625" hidden="1" customWidth="1"/>
    <col min="8" max="9" width="10.7109375" hidden="1" customWidth="1"/>
    <col min="10" max="16384" width="9.140625" hidden="1"/>
  </cols>
  <sheetData>
    <row r="11" spans="2:4" ht="15.75" thickBot="1" x14ac:dyDescent="0.3"/>
    <row r="12" spans="2:4" ht="27" thickBot="1" x14ac:dyDescent="0.3">
      <c r="B12" s="18" t="s">
        <v>13</v>
      </c>
      <c r="C12" s="19"/>
      <c r="D12" s="17"/>
    </row>
    <row r="13" spans="2:4" ht="15.75" x14ac:dyDescent="0.25">
      <c r="B13" s="39" t="s">
        <v>15</v>
      </c>
      <c r="C13" s="40"/>
      <c r="D13" s="11">
        <v>4200</v>
      </c>
    </row>
    <row r="14" spans="2:4" ht="15.75" x14ac:dyDescent="0.25">
      <c r="B14" s="41" t="s">
        <v>14</v>
      </c>
      <c r="C14" s="42"/>
      <c r="D14" s="12">
        <v>6.0000000000000001E-3</v>
      </c>
    </row>
    <row r="15" spans="2:4" ht="16.5" thickBot="1" x14ac:dyDescent="0.3">
      <c r="B15" s="43" t="s">
        <v>36</v>
      </c>
      <c r="C15" s="44"/>
      <c r="D15" s="10">
        <f>D13*30%</f>
        <v>1260</v>
      </c>
    </row>
    <row r="18" spans="1:4" ht="15.75" thickBot="1" x14ac:dyDescent="0.3"/>
    <row r="19" spans="1:4" ht="26.25" x14ac:dyDescent="0.25">
      <c r="B19" s="3" t="s">
        <v>5</v>
      </c>
      <c r="C19" s="4"/>
      <c r="D19" s="2"/>
    </row>
    <row r="20" spans="1:4" ht="15.75" customHeight="1" x14ac:dyDescent="0.25">
      <c r="B20" s="45" t="s">
        <v>0</v>
      </c>
      <c r="C20" s="46"/>
      <c r="D20" s="14">
        <v>200</v>
      </c>
    </row>
    <row r="21" spans="1:4" ht="15" customHeight="1" x14ac:dyDescent="0.25">
      <c r="B21" s="47" t="s">
        <v>1</v>
      </c>
      <c r="C21" s="48"/>
      <c r="D21" s="15">
        <v>10</v>
      </c>
    </row>
    <row r="22" spans="1:4" ht="15" customHeight="1" x14ac:dyDescent="0.25">
      <c r="B22" s="47" t="s">
        <v>2</v>
      </c>
      <c r="C22" s="48"/>
      <c r="D22" s="16">
        <v>1.0789999999999999E-2</v>
      </c>
    </row>
    <row r="23" spans="1:4" ht="15" customHeight="1" x14ac:dyDescent="0.25">
      <c r="B23" s="49" t="s">
        <v>3</v>
      </c>
      <c r="C23" s="50"/>
      <c r="D23" s="25">
        <f>FV(TAXA_MENSAL,QTD_ANOS*12,APORTE*-1)</f>
        <v>48656.842506034438</v>
      </c>
    </row>
    <row r="24" spans="1:4" ht="15.75" customHeight="1" thickBot="1" x14ac:dyDescent="0.3">
      <c r="B24" s="51" t="s">
        <v>4</v>
      </c>
      <c r="C24" s="52"/>
      <c r="D24" s="26">
        <f>PATRIMONIO*RENDIMENTO_CARTEIRA</f>
        <v>291.94105503620665</v>
      </c>
    </row>
    <row r="27" spans="1:4" ht="15.75" thickBot="1" x14ac:dyDescent="0.3"/>
    <row r="28" spans="1:4" ht="27" thickBot="1" x14ac:dyDescent="0.3">
      <c r="B28" s="5" t="s">
        <v>11</v>
      </c>
      <c r="C28" s="6"/>
      <c r="D28" s="13" t="s">
        <v>12</v>
      </c>
    </row>
    <row r="29" spans="1:4" ht="15.75" x14ac:dyDescent="0.25">
      <c r="A29" s="1">
        <v>2</v>
      </c>
      <c r="B29" s="53" t="s">
        <v>6</v>
      </c>
      <c r="C29" s="20">
        <f>FV($D$22,$A29*12,$D$20*-1)</f>
        <v>5445.5254595290435</v>
      </c>
      <c r="D29" s="21">
        <f>C29*RENDIMENTO_CARTEIRA</f>
        <v>32.673152757174265</v>
      </c>
    </row>
    <row r="30" spans="1:4" ht="15.75" x14ac:dyDescent="0.25">
      <c r="A30" s="1">
        <v>5</v>
      </c>
      <c r="B30" s="54" t="s">
        <v>7</v>
      </c>
      <c r="C30" s="22">
        <f>FV($D$22,$A30*12,$D$20*-1)</f>
        <v>16755.382799697527</v>
      </c>
      <c r="D30" s="21">
        <f>C30*RENDIMENTO_CARTEIRA</f>
        <v>100.53229679818516</v>
      </c>
    </row>
    <row r="31" spans="1:4" ht="15.75" x14ac:dyDescent="0.25">
      <c r="A31" s="1">
        <v>10</v>
      </c>
      <c r="B31" s="54" t="s">
        <v>8</v>
      </c>
      <c r="C31" s="22">
        <f>FV($D$22,$A31*12,$D$20*-1)</f>
        <v>48656.842506034438</v>
      </c>
      <c r="D31" s="21">
        <f>C31*RENDIMENTO_CARTEIRA</f>
        <v>291.94105503620665</v>
      </c>
    </row>
    <row r="32" spans="1:4" ht="15.75" x14ac:dyDescent="0.25">
      <c r="A32" s="1">
        <v>20</v>
      </c>
      <c r="B32" s="54" t="s">
        <v>9</v>
      </c>
      <c r="C32" s="22">
        <f>FV($D$22,$A32*12,$D$20*-1)</f>
        <v>225039.68001941612</v>
      </c>
      <c r="D32" s="21">
        <f>C32*RENDIMENTO_CARTEIRA</f>
        <v>1350.2380801164968</v>
      </c>
    </row>
    <row r="33" spans="1:4" ht="16.5" thickBot="1" x14ac:dyDescent="0.3">
      <c r="A33" s="1">
        <v>30</v>
      </c>
      <c r="B33" s="55" t="s">
        <v>10</v>
      </c>
      <c r="C33" s="23">
        <f>FV($D$22,$A33*12,$D$20*-1)</f>
        <v>864433.93100094295</v>
      </c>
      <c r="D33" s="24">
        <f>C33*RENDIMENTO_CARTEIRA</f>
        <v>5186.6035860056581</v>
      </c>
    </row>
    <row r="35" spans="1:4" x14ac:dyDescent="0.25">
      <c r="B35" s="27" t="s">
        <v>16</v>
      </c>
      <c r="C35" s="29" t="s">
        <v>17</v>
      </c>
      <c r="D35" s="29"/>
    </row>
    <row r="36" spans="1:4" ht="15.75" x14ac:dyDescent="0.25">
      <c r="B36" s="31" t="s">
        <v>18</v>
      </c>
      <c r="C36" s="32">
        <f>APORTE</f>
        <v>200</v>
      </c>
      <c r="D36" s="30"/>
    </row>
    <row r="38" spans="1:4" x14ac:dyDescent="0.25">
      <c r="B38" s="33" t="s">
        <v>19</v>
      </c>
      <c r="C38" s="33" t="s">
        <v>20</v>
      </c>
      <c r="D38" s="33" t="s">
        <v>21</v>
      </c>
    </row>
    <row r="39" spans="1:4" x14ac:dyDescent="0.25">
      <c r="B39" s="7" t="s">
        <v>22</v>
      </c>
      <c r="C39" s="8">
        <f>VLOOKUP($C$35&amp;"-"&amp;B39,Apoio!$A:$D,4,FALSE)</f>
        <v>0.5</v>
      </c>
      <c r="D39" s="34">
        <f>C39*$C$36</f>
        <v>100</v>
      </c>
    </row>
    <row r="40" spans="1:4" x14ac:dyDescent="0.25">
      <c r="B40" s="7" t="s">
        <v>23</v>
      </c>
      <c r="C40" s="8">
        <f>VLOOKUP($C$35&amp;"-"&amp;B40,Apoio!$A:$D,4,FALSE)</f>
        <v>0.1</v>
      </c>
      <c r="D40" s="34">
        <f t="shared" ref="D40:D44" si="0">C40*$C$36</f>
        <v>20</v>
      </c>
    </row>
    <row r="41" spans="1:4" x14ac:dyDescent="0.25">
      <c r="B41" s="7" t="s">
        <v>28</v>
      </c>
      <c r="C41" s="8">
        <f>VLOOKUP($C$35&amp;"-"&amp;B41,Apoio!$A:$D,4,FALSE)</f>
        <v>0.05</v>
      </c>
      <c r="D41" s="34">
        <f t="shared" si="0"/>
        <v>10</v>
      </c>
    </row>
    <row r="42" spans="1:4" x14ac:dyDescent="0.25">
      <c r="B42" s="7" t="s">
        <v>24</v>
      </c>
      <c r="C42" s="8">
        <f>VLOOKUP($C$35&amp;"-"&amp;B42,Apoio!$A:$D,4,FALSE)</f>
        <v>0.05</v>
      </c>
      <c r="D42" s="34">
        <f t="shared" si="0"/>
        <v>10</v>
      </c>
    </row>
    <row r="43" spans="1:4" x14ac:dyDescent="0.25">
      <c r="B43" s="7" t="s">
        <v>25</v>
      </c>
      <c r="C43" s="8">
        <f>VLOOKUP($C$35&amp;"-"&amp;B43,Apoio!$A:$D,4,FALSE)</f>
        <v>0.2</v>
      </c>
      <c r="D43" s="34">
        <f t="shared" si="0"/>
        <v>40</v>
      </c>
    </row>
    <row r="44" spans="1:4" x14ac:dyDescent="0.25">
      <c r="B44" s="7" t="s">
        <v>26</v>
      </c>
      <c r="C44" s="8">
        <f>VLOOKUP($C$35&amp;"-"&amp;B44,Apoio!$A:$D,4,FALSE)</f>
        <v>0.1</v>
      </c>
      <c r="D44" s="34">
        <f t="shared" si="0"/>
        <v>20</v>
      </c>
    </row>
    <row r="45" spans="1:4" x14ac:dyDescent="0.25">
      <c r="B45" s="30"/>
      <c r="C45" s="30"/>
      <c r="D45" s="32">
        <f>SUM(D39:D44)</f>
        <v>200</v>
      </c>
    </row>
  </sheetData>
  <mergeCells count="11">
    <mergeCell ref="B12:C12"/>
    <mergeCell ref="B20:C20"/>
    <mergeCell ref="B22:C22"/>
    <mergeCell ref="B23:C23"/>
    <mergeCell ref="B24:C24"/>
    <mergeCell ref="B19:C19"/>
    <mergeCell ref="B13:C13"/>
    <mergeCell ref="B14:C14"/>
    <mergeCell ref="B15:C15"/>
    <mergeCell ref="B21:C21"/>
    <mergeCell ref="B28:C28"/>
  </mergeCells>
  <dataValidations count="1">
    <dataValidation type="list" allowBlank="1" showInputMessage="1" showErrorMessage="1" sqref="C35" xr:uid="{09B65252-7E9F-48E6-BEE2-079AC651DD98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ED033-B8F2-4550-B6F5-D4E4440152C6}">
  <dimension ref="A2:H20"/>
  <sheetViews>
    <sheetView showGridLines="0" workbookViewId="0">
      <selection activeCell="F27" sqref="F27"/>
    </sheetView>
  </sheetViews>
  <sheetFormatPr defaultRowHeight="15" x14ac:dyDescent="0.25"/>
  <cols>
    <col min="1" max="1" width="31.28515625" bestFit="1" customWidth="1"/>
    <col min="2" max="2" width="12.140625" bestFit="1" customWidth="1"/>
    <col min="3" max="3" width="19" bestFit="1" customWidth="1"/>
    <col min="4" max="4" width="10.5703125" bestFit="1" customWidth="1"/>
    <col min="7" max="7" width="17" bestFit="1" customWidth="1"/>
  </cols>
  <sheetData>
    <row r="2" spans="1:8" x14ac:dyDescent="0.25">
      <c r="A2" s="57" t="s">
        <v>32</v>
      </c>
      <c r="B2" s="57" t="s">
        <v>30</v>
      </c>
      <c r="C2" s="57" t="s">
        <v>29</v>
      </c>
      <c r="D2" s="57" t="s">
        <v>31</v>
      </c>
      <c r="E2" s="56"/>
    </row>
    <row r="3" spans="1:8" x14ac:dyDescent="0.25">
      <c r="A3" t="str">
        <f>B3&amp;"-"&amp;C3</f>
        <v>Conservador-PAPEL</v>
      </c>
      <c r="B3" t="s">
        <v>27</v>
      </c>
      <c r="C3" s="7" t="s">
        <v>22</v>
      </c>
      <c r="D3" s="9">
        <v>0.3</v>
      </c>
    </row>
    <row r="4" spans="1:8" x14ac:dyDescent="0.25">
      <c r="A4" t="str">
        <f t="shared" ref="A4:A20" si="0">B4&amp;"-"&amp;C4</f>
        <v>Conservador-TIJOLO</v>
      </c>
      <c r="B4" t="s">
        <v>27</v>
      </c>
      <c r="C4" s="7" t="s">
        <v>23</v>
      </c>
      <c r="D4" s="9">
        <v>0.5</v>
      </c>
      <c r="H4" t="s">
        <v>35</v>
      </c>
    </row>
    <row r="5" spans="1:8" x14ac:dyDescent="0.25">
      <c r="A5" t="str">
        <f t="shared" si="0"/>
        <v>Conservador-HIBRIDOS</v>
      </c>
      <c r="B5" t="s">
        <v>27</v>
      </c>
      <c r="C5" s="7" t="s">
        <v>28</v>
      </c>
      <c r="D5" s="9">
        <v>0.1</v>
      </c>
      <c r="G5" s="28" t="s">
        <v>34</v>
      </c>
      <c r="H5" s="38">
        <f>VLOOKUP(G5,$A:$D,4,FALSE)</f>
        <v>0.35</v>
      </c>
    </row>
    <row r="6" spans="1:8" x14ac:dyDescent="0.25">
      <c r="A6" t="str">
        <f t="shared" si="0"/>
        <v>Conservador-FOFs</v>
      </c>
      <c r="B6" t="s">
        <v>27</v>
      </c>
      <c r="C6" s="7" t="s">
        <v>24</v>
      </c>
      <c r="D6" s="9">
        <v>0.1</v>
      </c>
    </row>
    <row r="7" spans="1:8" x14ac:dyDescent="0.25">
      <c r="A7" t="str">
        <f t="shared" si="0"/>
        <v>Conservador-DESENVOLVIMENTO</v>
      </c>
      <c r="B7" t="s">
        <v>27</v>
      </c>
      <c r="C7" s="7" t="s">
        <v>25</v>
      </c>
      <c r="D7" s="9">
        <v>0</v>
      </c>
    </row>
    <row r="8" spans="1:8" ht="15.75" thickBot="1" x14ac:dyDescent="0.3">
      <c r="A8" s="35" t="str">
        <f t="shared" si="0"/>
        <v>Conservador-HOTELARIAS</v>
      </c>
      <c r="B8" s="35" t="s">
        <v>27</v>
      </c>
      <c r="C8" s="36" t="s">
        <v>26</v>
      </c>
      <c r="D8" s="37">
        <v>0</v>
      </c>
    </row>
    <row r="9" spans="1:8" x14ac:dyDescent="0.25">
      <c r="A9" t="str">
        <f t="shared" si="0"/>
        <v>Moderado-PAPEL</v>
      </c>
      <c r="B9" t="s">
        <v>33</v>
      </c>
      <c r="C9" s="7" t="s">
        <v>22</v>
      </c>
      <c r="D9" s="9">
        <v>0.32</v>
      </c>
    </row>
    <row r="10" spans="1:8" x14ac:dyDescent="0.25">
      <c r="A10" t="str">
        <f t="shared" si="0"/>
        <v>Moderado-TIJOLO</v>
      </c>
      <c r="B10" t="s">
        <v>33</v>
      </c>
      <c r="C10" s="7" t="s">
        <v>23</v>
      </c>
      <c r="D10" s="9">
        <v>0.35</v>
      </c>
    </row>
    <row r="11" spans="1:8" x14ac:dyDescent="0.25">
      <c r="A11" t="str">
        <f t="shared" si="0"/>
        <v>Moderado-HIBRIDOS</v>
      </c>
      <c r="B11" t="s">
        <v>33</v>
      </c>
      <c r="C11" s="7" t="s">
        <v>28</v>
      </c>
      <c r="D11" s="9">
        <v>0.08</v>
      </c>
    </row>
    <row r="12" spans="1:8" x14ac:dyDescent="0.25">
      <c r="A12" t="str">
        <f t="shared" si="0"/>
        <v>Moderado-FOFs</v>
      </c>
      <c r="B12" t="s">
        <v>33</v>
      </c>
      <c r="C12" s="7" t="s">
        <v>24</v>
      </c>
      <c r="D12" s="9">
        <v>0.05</v>
      </c>
    </row>
    <row r="13" spans="1:8" x14ac:dyDescent="0.25">
      <c r="A13" t="str">
        <f t="shared" si="0"/>
        <v>Moderado-DESENVOLVIMENTO</v>
      </c>
      <c r="B13" t="s">
        <v>33</v>
      </c>
      <c r="C13" s="7" t="s">
        <v>25</v>
      </c>
      <c r="D13" s="9">
        <v>0.1</v>
      </c>
    </row>
    <row r="14" spans="1:8" ht="15.75" thickBot="1" x14ac:dyDescent="0.3">
      <c r="A14" s="35" t="str">
        <f t="shared" si="0"/>
        <v>Moderado-HOTELARIAS</v>
      </c>
      <c r="B14" s="35" t="s">
        <v>33</v>
      </c>
      <c r="C14" s="36" t="s">
        <v>26</v>
      </c>
      <c r="D14" s="37">
        <v>0.1</v>
      </c>
    </row>
    <row r="15" spans="1:8" x14ac:dyDescent="0.25">
      <c r="A15" t="str">
        <f t="shared" si="0"/>
        <v>Agressivo-PAPEL</v>
      </c>
      <c r="B15" t="s">
        <v>17</v>
      </c>
      <c r="C15" s="7" t="s">
        <v>22</v>
      </c>
      <c r="D15" s="9">
        <v>0.5</v>
      </c>
    </row>
    <row r="16" spans="1:8" x14ac:dyDescent="0.25">
      <c r="A16" t="str">
        <f t="shared" si="0"/>
        <v>Agressivo-TIJOLO</v>
      </c>
      <c r="B16" t="s">
        <v>17</v>
      </c>
      <c r="C16" s="7" t="s">
        <v>23</v>
      </c>
      <c r="D16" s="9">
        <v>0.1</v>
      </c>
    </row>
    <row r="17" spans="1:4" x14ac:dyDescent="0.25">
      <c r="A17" t="str">
        <f t="shared" si="0"/>
        <v>Agressivo-HIBRIDOS</v>
      </c>
      <c r="B17" t="s">
        <v>17</v>
      </c>
      <c r="C17" s="7" t="s">
        <v>28</v>
      </c>
      <c r="D17" s="9">
        <v>0.05</v>
      </c>
    </row>
    <row r="18" spans="1:4" x14ac:dyDescent="0.25">
      <c r="A18" t="str">
        <f t="shared" si="0"/>
        <v>Agressivo-FOFs</v>
      </c>
      <c r="B18" t="s">
        <v>17</v>
      </c>
      <c r="C18" s="7" t="s">
        <v>24</v>
      </c>
      <c r="D18" s="9">
        <v>0.05</v>
      </c>
    </row>
    <row r="19" spans="1:4" x14ac:dyDescent="0.25">
      <c r="A19" t="str">
        <f t="shared" si="0"/>
        <v>Agressivo-DESENVOLVIMENTO</v>
      </c>
      <c r="B19" t="s">
        <v>17</v>
      </c>
      <c r="C19" s="7" t="s">
        <v>25</v>
      </c>
      <c r="D19" s="9">
        <v>0.2</v>
      </c>
    </row>
    <row r="20" spans="1:4" x14ac:dyDescent="0.25">
      <c r="A20" t="str">
        <f t="shared" si="0"/>
        <v>Agressivo-HOTELARIAS</v>
      </c>
      <c r="B20" t="s">
        <v>17</v>
      </c>
      <c r="C20" s="7" t="s">
        <v>26</v>
      </c>
      <c r="D20" s="9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</vt:lpstr>
      <vt:lpstr>Apoio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Oliveira</dc:creator>
  <cp:lastModifiedBy>Raphael Oliveira</cp:lastModifiedBy>
  <dcterms:created xsi:type="dcterms:W3CDTF">2026-10-16T13:09:40Z</dcterms:created>
  <dcterms:modified xsi:type="dcterms:W3CDTF">2026-10-16T16:27:15Z</dcterms:modified>
</cp:coreProperties>
</file>